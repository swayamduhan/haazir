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waya\AppData\Local\Temp\claude\d--dev-projects-haazir\d57bde53-ece1-4d4d-82e8-8c97251219c4\scratchpad\"/>
    </mc:Choice>
  </mc:AlternateContent>
  <xr:revisionPtr revIDLastSave="0" documentId="13_ncr:1_{E0640D68-6558-4B1B-B51F-BFE27AB28FBA}" xr6:coauthVersionLast="47" xr6:coauthVersionMax="47" xr10:uidLastSave="{00000000-0000-0000-0000-000000000000}"/>
  <bookViews>
    <workbookView xWindow="610" yWindow="-110" windowWidth="25100" windowHeight="16220" xr2:uid="{00000000-000D-0000-FFFF-FFFF00000000}"/>
  </bookViews>
  <sheets>
    <sheet name="How to use" sheetId="1" r:id="rId1"/>
    <sheet name="Respon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1" i="2" l="1"/>
  <c r="L121" i="2"/>
  <c r="M120" i="2"/>
  <c r="L120" i="2"/>
  <c r="M119" i="2"/>
  <c r="L119" i="2"/>
  <c r="M118" i="2"/>
  <c r="L118" i="2"/>
  <c r="M117" i="2"/>
  <c r="L117" i="2" s="1"/>
  <c r="M116" i="2"/>
  <c r="L116" i="2" s="1"/>
  <c r="M115" i="2"/>
  <c r="L115" i="2" s="1"/>
  <c r="M114" i="2"/>
  <c r="L114" i="2"/>
  <c r="M113" i="2"/>
  <c r="L113" i="2"/>
  <c r="M112" i="2"/>
  <c r="L112" i="2" s="1"/>
  <c r="M111" i="2"/>
  <c r="L111" i="2" s="1"/>
  <c r="M110" i="2"/>
  <c r="L110" i="2"/>
  <c r="M109" i="2"/>
  <c r="L109" i="2"/>
  <c r="M108" i="2"/>
  <c r="L108" i="2"/>
  <c r="M107" i="2"/>
  <c r="L107" i="2" s="1"/>
  <c r="M106" i="2"/>
  <c r="L106" i="2"/>
  <c r="M105" i="2"/>
  <c r="L105" i="2" s="1"/>
  <c r="M104" i="2"/>
  <c r="L104" i="2" s="1"/>
  <c r="M103" i="2"/>
  <c r="L103" i="2"/>
  <c r="M102" i="2"/>
  <c r="L102" i="2" s="1"/>
  <c r="M101" i="2"/>
  <c r="L101" i="2" s="1"/>
  <c r="M100" i="2"/>
  <c r="L100" i="2" s="1"/>
  <c r="M99" i="2"/>
  <c r="L99" i="2"/>
  <c r="M98" i="2"/>
  <c r="L98" i="2"/>
  <c r="M97" i="2"/>
  <c r="L97" i="2"/>
  <c r="M96" i="2"/>
  <c r="L96" i="2"/>
  <c r="M95" i="2"/>
  <c r="L95" i="2"/>
  <c r="M94" i="2"/>
  <c r="L94" i="2" s="1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 s="1"/>
  <c r="M85" i="2"/>
  <c r="L85" i="2" s="1"/>
  <c r="M84" i="2"/>
  <c r="L84" i="2" s="1"/>
  <c r="M83" i="2"/>
  <c r="L83" i="2" s="1"/>
  <c r="M82" i="2"/>
  <c r="L82" i="2" s="1"/>
  <c r="M81" i="2"/>
  <c r="L81" i="2" s="1"/>
  <c r="M80" i="2"/>
  <c r="L80" i="2" s="1"/>
  <c r="M79" i="2"/>
  <c r="L79" i="2" s="1"/>
  <c r="M78" i="2"/>
  <c r="L78" i="2" s="1"/>
  <c r="M77" i="2"/>
  <c r="L77" i="2" s="1"/>
  <c r="M76" i="2"/>
  <c r="L76" i="2" s="1"/>
  <c r="M75" i="2"/>
  <c r="L75" i="2" s="1"/>
  <c r="M74" i="2"/>
  <c r="L74" i="2" s="1"/>
  <c r="M73" i="2"/>
  <c r="L73" i="2" s="1"/>
  <c r="M72" i="2"/>
  <c r="L72" i="2" s="1"/>
  <c r="M71" i="2"/>
  <c r="L71" i="2" s="1"/>
  <c r="M70" i="2"/>
  <c r="L70" i="2" s="1"/>
  <c r="M69" i="2"/>
  <c r="L69" i="2" s="1"/>
  <c r="M68" i="2"/>
  <c r="L68" i="2" s="1"/>
  <c r="M67" i="2"/>
  <c r="L67" i="2" s="1"/>
  <c r="M66" i="2"/>
  <c r="L66" i="2" s="1"/>
  <c r="M65" i="2"/>
  <c r="L65" i="2" s="1"/>
  <c r="M64" i="2"/>
  <c r="L64" i="2" s="1"/>
  <c r="M63" i="2"/>
  <c r="L63" i="2" s="1"/>
  <c r="M62" i="2"/>
  <c r="L62" i="2" s="1"/>
  <c r="M61" i="2"/>
  <c r="L61" i="2" s="1"/>
  <c r="M60" i="2"/>
  <c r="L60" i="2" s="1"/>
  <c r="M59" i="2"/>
  <c r="L59" i="2" s="1"/>
  <c r="M58" i="2"/>
  <c r="L58" i="2" s="1"/>
  <c r="M57" i="2"/>
  <c r="L57" i="2" s="1"/>
  <c r="M56" i="2"/>
  <c r="L56" i="2" s="1"/>
  <c r="M55" i="2"/>
  <c r="L55" i="2" s="1"/>
  <c r="M54" i="2"/>
  <c r="L54" i="2" s="1"/>
  <c r="M53" i="2"/>
  <c r="L53" i="2" s="1"/>
  <c r="M52" i="2"/>
  <c r="L52" i="2" s="1"/>
  <c r="M51" i="2"/>
  <c r="L51" i="2" s="1"/>
  <c r="M50" i="2"/>
  <c r="L50" i="2" s="1"/>
  <c r="M49" i="2"/>
  <c r="L49" i="2" s="1"/>
  <c r="M48" i="2"/>
  <c r="L48" i="2" s="1"/>
  <c r="M47" i="2"/>
  <c r="L47" i="2" s="1"/>
  <c r="M46" i="2"/>
  <c r="L46" i="2" s="1"/>
  <c r="M45" i="2"/>
  <c r="L45" i="2" s="1"/>
  <c r="M44" i="2"/>
  <c r="L44" i="2" s="1"/>
  <c r="M43" i="2"/>
  <c r="L43" i="2" s="1"/>
  <c r="M42" i="2"/>
  <c r="L42" i="2" s="1"/>
  <c r="M41" i="2"/>
  <c r="L41" i="2" s="1"/>
  <c r="M40" i="2"/>
  <c r="L40" i="2" s="1"/>
  <c r="M39" i="2"/>
  <c r="L39" i="2" s="1"/>
  <c r="M38" i="2"/>
  <c r="L38" i="2"/>
  <c r="M37" i="2"/>
  <c r="L37" i="2" s="1"/>
  <c r="M36" i="2"/>
  <c r="L36" i="2" s="1"/>
  <c r="M35" i="2"/>
  <c r="L35" i="2" s="1"/>
  <c r="M34" i="2"/>
  <c r="L34" i="2"/>
  <c r="M33" i="2"/>
  <c r="L33" i="2" s="1"/>
  <c r="M32" i="2"/>
  <c r="L32" i="2" s="1"/>
  <c r="M31" i="2"/>
  <c r="L31" i="2" s="1"/>
  <c r="M30" i="2"/>
  <c r="L30" i="2" s="1"/>
  <c r="M29" i="2"/>
  <c r="L29" i="2" s="1"/>
  <c r="M28" i="2"/>
  <c r="L28" i="2" s="1"/>
  <c r="M27" i="2"/>
  <c r="L27" i="2" s="1"/>
  <c r="M26" i="2"/>
  <c r="L26" i="2" s="1"/>
  <c r="M25" i="2"/>
  <c r="L25" i="2" s="1"/>
  <c r="M24" i="2"/>
  <c r="L24" i="2" s="1"/>
  <c r="M23" i="2"/>
  <c r="L23" i="2" s="1"/>
  <c r="M22" i="2"/>
  <c r="L22" i="2" s="1"/>
  <c r="M21" i="2"/>
  <c r="L21" i="2" s="1"/>
  <c r="M20" i="2"/>
  <c r="L20" i="2" s="1"/>
  <c r="M19" i="2"/>
  <c r="L19" i="2" s="1"/>
  <c r="M18" i="2"/>
  <c r="L18" i="2" s="1"/>
  <c r="M17" i="2"/>
  <c r="L17" i="2" s="1"/>
  <c r="M16" i="2"/>
  <c r="L16" i="2" s="1"/>
  <c r="M15" i="2"/>
  <c r="L15" i="2" s="1"/>
  <c r="M14" i="2"/>
  <c r="L14" i="2" s="1"/>
  <c r="M13" i="2"/>
  <c r="L13" i="2" s="1"/>
  <c r="M12" i="2"/>
  <c r="L12" i="2" s="1"/>
  <c r="M11" i="2"/>
  <c r="L11" i="2" s="1"/>
  <c r="M10" i="2"/>
  <c r="L10" i="2" s="1"/>
  <c r="M9" i="2"/>
  <c r="L9" i="2" s="1"/>
  <c r="M8" i="2"/>
  <c r="L8" i="2" s="1"/>
  <c r="M7" i="2"/>
  <c r="L7" i="2" s="1"/>
  <c r="M6" i="2"/>
  <c r="L6" i="2" s="1"/>
  <c r="M5" i="2"/>
  <c r="L5" i="2" s="1"/>
  <c r="M4" i="2"/>
  <c r="L4" i="2" s="1"/>
  <c r="M3" i="2"/>
  <c r="L3" i="2"/>
  <c r="M2" i="2"/>
  <c r="M15" i="1"/>
  <c r="B4" i="3" l="1"/>
  <c r="B3" i="3"/>
  <c r="L2" i="2"/>
  <c r="B27" i="3" l="1"/>
  <c r="B25" i="3"/>
  <c r="B26" i="3"/>
  <c r="B24" i="3"/>
  <c r="B23" i="3"/>
  <c r="B22" i="3"/>
  <c r="B21" i="3"/>
  <c r="B20" i="3"/>
  <c r="B19" i="3"/>
  <c r="B18" i="3"/>
  <c r="B10" i="3"/>
  <c r="B9" i="3"/>
  <c r="B8" i="3"/>
  <c r="B7" i="3"/>
  <c r="B6" i="3"/>
  <c r="B5" i="3"/>
  <c r="B13" i="3"/>
  <c r="B11" i="3" l="1"/>
  <c r="B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Haazir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Q1: I think that I would like to use the Haazir app frequently.
1 = Strongly disagree, 5 = Strongly agree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Q2: I found the Haazir app unnecessarily complex.
1 = Strongly disagree, 5 = Strongly agree</t>
        </r>
      </text>
    </comment>
    <comment ref="D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Q3: I thought the Haazir app was easy to use.
1 = Strongly disagree, 5 = Strongly agree</t>
        </r>
      </text>
    </comment>
    <comment ref="E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Q4: I think that I would need the support of a technical person to be able to use the Haazir app.
1 = Strongly disagree, 5 = Strongly agree</t>
        </r>
      </text>
    </comment>
    <comment ref="F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Q5: I found the various functions in the Haazir app were well integrated.
1 = Strongly disagree, 5 = Strongly agree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Q6: I thought there was too much inconsistency in the Haazir app.
1 = Strongly disagree, 5 = Strongly agree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Q7: I would imagine that most people would learn to use the Haazir app very quickly.
1 = Strongly disagree, 5 = Strongly agree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Q8: I found the Haazir app very cumbersome to use.
1 = Strongly disagree, 5 = Strongly agree</t>
        </r>
      </text>
    </comment>
    <comment ref="J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Q9: I felt very confident using the Haazir app.
1 = Strongly disagree, 5 = Strongly agree</t>
        </r>
      </text>
    </comment>
    <comment ref="K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Q10: I needed to learn a lot of things before I could get going with the Haazir app.
1 = Strongly disagree, 5 = Strongly agree</t>
        </r>
      </text>
    </comment>
  </commentList>
</comments>
</file>

<file path=xl/sharedStrings.xml><?xml version="1.0" encoding="utf-8"?>
<sst xmlns="http://schemas.openxmlformats.org/spreadsheetml/2006/main" count="200" uniqueCount="178">
  <si>
    <t>Haazir — System Usability Scale scoring</t>
  </si>
  <si>
    <t>1.  Run the session in docs/sus/questionnaire.md and collect the ten answers per student (1–5).</t>
  </si>
  <si>
    <t>2.  On the Responses sheet, type or paste each student's answers into the pale-yellow cells, Q1 to Q10 in order.</t>
  </si>
  <si>
    <t xml:space="preserve">    From a Google Form export: paste the ten answer columns into B2:K, one student per row.</t>
  </si>
  <si>
    <t>3.  The SUS score and the Check column fill in by themselves. A row scores only when all ten answers are whole numbers from 1 to 5;</t>
  </si>
  <si>
    <t xml:space="preserve">    anything else shows 'check' and is left out of the statistics, so one typo cannot skew the mean.</t>
  </si>
  <si>
    <t>4.  The Summary sheet reports the number of valid responses, the mean with its 95% confidence interval, and how it compares with published norms.</t>
  </si>
  <si>
    <t>Edit only the pale-yellow cells. Every other cell is a formula.</t>
  </si>
  <si>
    <t>Example of one completed row (not counted anywhere):</t>
  </si>
  <si>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</si>
  <si>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</si>
  <si>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</si>
  <si>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</si>
  <si>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</si>
  <si>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</si>
  <si>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</si>
  <si>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</si>
  <si>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</si>
  <si>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</si>
  <si>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</si>
  <si>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</si>
  <si>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P-EX</t>
  </si>
  <si>
    <t>Scoring (Brooke, 1996): odd items contribute (answer − 1), even items (5 − answer); the sum is multiplied by 2.5 to give 0–100.</t>
  </si>
  <si>
    <t>Check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</si>
  <si>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</si>
  <si>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</si>
  <si>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</si>
  <si>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</si>
  <si>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</si>
  <si>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</si>
  <si>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</si>
  <si>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</si>
  <si>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</si>
  <si>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</si>
  <si>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</si>
  <si>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</si>
  <si>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</si>
  <si>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</si>
  <si>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</si>
  <si>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</si>
  <si>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</si>
  <si>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</si>
  <si>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</si>
  <si>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</si>
  <si>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</si>
  <si>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</si>
  <si>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</si>
  <si>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</si>
  <si>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</si>
  <si>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</si>
  <si>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</si>
  <si>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</si>
  <si>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</si>
  <si>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</si>
  <si>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</si>
  <si>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</si>
  <si>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</si>
  <si>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</si>
  <si>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</si>
  <si>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</si>
  <si>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</si>
  <si>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</si>
  <si>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</si>
  <si>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</si>
  <si>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</si>
  <si>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</si>
  <si>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</si>
  <si>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</si>
  <si>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</si>
  <si>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</si>
  <si>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</si>
  <si>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</si>
  <si>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</si>
  <si>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</si>
  <si>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</si>
  <si>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</si>
  <si>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</si>
  <si>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</si>
  <si>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</si>
  <si>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</si>
  <si>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</si>
  <si>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</si>
  <si>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</si>
  <si>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</si>
  <si>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</si>
  <si>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</si>
  <si>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</si>
  <si>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</si>
  <si>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</si>
  <si>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</si>
  <si>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</si>
  <si>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</si>
  <si>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</si>
  <si>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</si>
  <si>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</si>
  <si>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</si>
  <si>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</si>
  <si>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</si>
  <si>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</si>
  <si>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</si>
  <si>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</si>
  <si>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</si>
  <si>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</si>
  <si>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</si>
  <si>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</si>
  <si>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</si>
  <si>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</si>
  <si>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</si>
  <si>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</si>
  <si>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</si>
  <si>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</si>
  <si>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</si>
  <si>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</si>
  <si>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</si>
  <si>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</si>
  <si>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</si>
  <si>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</si>
  <si>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</si>
  <si>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</si>
  <si>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</si>
  <si>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</si>
  <si>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</si>
  <si>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</si>
  <si>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</si>
  <si>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</si>
  <si>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</si>
  <si>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</si>
  <si>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</si>
  <si>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</si>
  <si>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</si>
  <si>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</si>
  <si>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</si>
  <si>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</si>
  <si>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</si>
  <si>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</si>
  <si>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</si>
  <si>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</si>
  <si>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</si>
  <si>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</si>
  <si>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</si>
  <si>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</si>
  <si>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</si>
  <si>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</si>
  <si>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</si>
  <si>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SUS summary</t>
  </si>
  <si>
    <t>Valid responses</t>
  </si>
  <si>
    <t>Rows whose ten answers are all whole numbers 1–5.</t>
  </si>
  <si>
    <t>Rows needing a check</t>
  </si>
  <si>
    <t>Fix these on the Responses sheet; they are excluded until valid.</t>
  </si>
  <si>
    <t>Mean SUS score</t>
  </si>
  <si>
    <t>Standard deviation</t>
  </si>
  <si>
    <t>Sample standard deviation.</t>
  </si>
  <si>
    <t>Median</t>
  </si>
  <si>
    <t>Lowest</t>
  </si>
  <si>
    <t>Highest</t>
  </si>
  <si>
    <t>95% CI half-width</t>
  </si>
  <si>
    <t>t-distribution with n − 1 degrees of freedom: appropriate for small classes.</t>
  </si>
  <si>
    <t>95% CI lower bound</t>
  </si>
  <si>
    <t>95% CI upper bound</t>
  </si>
  <si>
    <t>Interpretation</t>
  </si>
  <si>
    <t>Thresholds from Sauro (2011): 68 is the average across published studies; 80.3 marks the top 10%; below 51 the bottom 15%.</t>
  </si>
  <si>
    <t>Per-item mean (valid responses only)</t>
  </si>
  <si>
    <t>Item</t>
  </si>
  <si>
    <t>Mean (1–5)</t>
  </si>
  <si>
    <t>Statement — odd items: higher is better · even items: lower is better</t>
  </si>
  <si>
    <t>I think that I would like to use the Haazir app frequently.</t>
  </si>
  <si>
    <t>I found the Haazir app unnecessarily complex.</t>
  </si>
  <si>
    <t>I thought the Haazir app was easy to use.</t>
  </si>
  <si>
    <t>I think that I would need the support of a technical person to be able to use the Haazir app.</t>
  </si>
  <si>
    <t>I found the various functions in the Haazir app were well integrated.</t>
  </si>
  <si>
    <t>I thought there was too much inconsistency in the Haazir app.</t>
  </si>
  <si>
    <t>I would imagine that most people would learn to use the Haazir app very quickly.</t>
  </si>
  <si>
    <t>I found the Haazir app very cumbersome to use.</t>
  </si>
  <si>
    <t>I felt very confident using the Haazir app.</t>
  </si>
  <si>
    <t>I needed to learn a lot of things before I could get going with the Haazir app.</t>
  </si>
  <si>
    <t>Sources</t>
  </si>
  <si>
    <t>Brooke, J. (1996). SUS: A "quick and dirty" usability scale. In P. W. Jordan et al. (Eds.), Usability evaluation in industry (pp. 189–194). Taylor &amp; Francis.</t>
  </si>
  <si>
    <t>Sauro, J. (2011). A practical guide to the System Usability Scale: Background, benchmarks &amp; best practices. Measuring Usability LLC.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</si>
</sst>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6"/>
      <color rgb="FF1F2A5C"/>
      <name val="Arial"/>
    </font>
    <font>
      <sz val="10"/>
      <name val="Arial"/>
    </font>
    <font>
      <b/>
      <sz val="10"/>
      <color rgb="FF1F2A5C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  <font>
      <i/>
      <sz val="9"/>
      <color rgb="FF5B6474"/>
      <name val="Arial"/>
    </font>
    <font>
      <sz val="10"/>
      <color rgb="FF000000"/>
      <name val="Arial"/>
    </font>
    <font>
      <b/>
      <sz val="12"/>
      <color rgb="FF1F2A5C"/>
      <name val="Arial"/>
    </font>
    <font>
      <b/>
      <sz val="10"/>
      <color rgb="FF00000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A5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5E2"/>
      </left>
      <right style="thin">
        <color rgb="FFD0D5E2"/>
      </right>
      <top style="thin">
        <color rgb="FFD0D5E2"/>
      </top>
      <bottom style="thin">
        <color rgb="FFD0D5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1" fontId="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4" fillId="2" borderId="0" xfId="0" applyFont="1" applyFill="1"/>
    <xf numFmtId="2" fontId="2" fillId="0" borderId="0" xfId="0" applyNumberFormat="1" applyFont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7"/>
  <sheetViews>
    <sheetView showGridLines="0" tabSelected="1" workbookViewId="0"/>
  </sheetViews>
  <sheetFormatPr defaultRowHeight="14.5" x14ac:dyDescent="0.35"/>
  <cols>
    <col min="1" max="1" width="3" customWidth="1"/>
    <col min="2" max="2" width="16" customWidth="1"/>
    <col min="3" max="12" width="7" customWidth="1"/>
    <col min="13" max="13" width="12" customWidth="1"/>
  </cols>
  <sheetData>
    <row r="2" spans="2:13" ht="20" x14ac:dyDescent="0.4">
      <c r="B2" s="1" t="s">
        <v>0</v>
      </c>
    </row>
    <row r="4" spans="2:13" x14ac:dyDescent="0.35">
      <c r="B4" s="2" t="s">
        <v>1</v>
      </c>
    </row>
    <row r="5" spans="2:13" x14ac:dyDescent="0.35">
      <c r="B5" s="2" t="s">
        <v>2</v>
      </c>
    </row>
    <row r="6" spans="2:13" x14ac:dyDescent="0.35">
      <c r="B6" s="2" t="s">
        <v>3</v>
      </c>
    </row>
    <row r="7" spans="2:13" x14ac:dyDescent="0.35">
      <c r="B7" s="2" t="s">
        <v>4</v>
      </c>
    </row>
    <row r="8" spans="2:13" x14ac:dyDescent="0.35">
      <c r="B8" s="2" t="s">
        <v>5</v>
      </c>
    </row>
    <row r="9" spans="2:13" x14ac:dyDescent="0.35">
      <c r="B9" s="2" t="s">
        <v>6</v>
      </c>
    </row>
    <row r="10" spans="2:13" x14ac:dyDescent="0.35">
      <c r="B10" s="2"/>
    </row>
    <row r="11" spans="2:13" x14ac:dyDescent="0.35">
      <c r="B11" s="2" t="s">
        <v>7</v>
      </c>
    </row>
    <row r="13" spans="2:13" x14ac:dyDescent="0.35">
      <c r="B13" s="3" t="s">
        <v>8</v>
      </c>
    </row>
    <row r="14" spans="2:13" x14ac:dyDescent="0.35">
      <c r="B14" s="4" t="s">
        <v>9</v>
      </c>
      <c r="C14" s="4" t="s">
        <v>10</v>
      </c>
      <c r="D14" s="4" t="s">
        <v>11</v>
      </c>
      <c r="E14" s="4" t="s">
        <v>12</v>
      </c>
      <c r="F14" s="4" t="s">
        <v>13</v>
      </c>
      <c r="G14" s="4" t="s">
        <v>14</v>
      </c>
      <c r="H14" s="4" t="s">
        <v>15</v>
      </c>
      <c r="I14" s="4" t="s">
        <v>16</v>
      </c>
      <c r="J14" s="4" t="s">
        <v>17</v>
      </c>
      <c r="K14" s="4" t="s">
        <v>18</v>
      </c>
      <c r="L14" s="4" t="s">
        <v>19</v>
      </c>
      <c r="M14" s="4" t="s">
        <v>20</v>
      </c>
    </row>
    <row r="15" spans="2:13" x14ac:dyDescent="0.35">
      <c r="B15" s="2" t="s">
        <v>21</v>
      </c>
      <c r="C15" s="5">
        <v>4</v>
      </c>
      <c r="D15" s="5">
        <v>2</v>
      </c>
      <c r="E15" s="5">
        <v>4</v>
      </c>
      <c r="F15" s="5">
        <v>1</v>
      </c>
      <c r="G15" s="5">
        <v>4</v>
      </c>
      <c r="H15" s="5">
        <v>2</v>
      </c>
      <c r="I15" s="5">
        <v>5</v>
      </c>
      <c r="J15" s="5">
        <v>1</v>
      </c>
      <c r="K15" s="5">
        <v>4</v>
      </c>
      <c r="L15" s="5">
        <v>2</v>
      </c>
      <c r="M15" s="6">
        <f>((C15-1)+(E15-1)+(G15-1)+(I15-1)+(K15-1)+(5-D15)+(5-F15)+(5-H15)+(5-J15)+(5-L15))*2.5</f>
        <v>82.5</v>
      </c>
    </row>
    <row r="17" spans="2:2" x14ac:dyDescent="0.35">
      <c r="B17" s="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11" width="7" customWidth="1"/>
    <col min="12" max="12" width="11" customWidth="1"/>
    <col min="13" max="13" width="9" customWidth="1"/>
  </cols>
  <sheetData>
    <row r="1" spans="1:13" x14ac:dyDescent="0.35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23</v>
      </c>
    </row>
    <row r="2" spans="1:13" x14ac:dyDescent="0.35">
      <c r="A2" s="2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10" t="str">
        <f t="shared" ref="L2:L33" si="0">IF(M2="ok",((B2-1)+(D2-1)+(F2-1)+(H2-1)+(J2-1)+(5-C2)+(5-E2)+(5-G2)+(5-I2)+(5-K2))*2.5,"")</f>
        <v/>
      </c>
      <c r="M2" s="11" t="str">
        <f t="shared" ref="M2:M33" si="1">IF(COUNTA(B2:K2)=0,"",IF(COUNT(B2:K2)&lt;&gt;10,"check",IF(AND(MIN(B2:K2)&gt;=1,MAX(B2:K2)&lt;=5,SUMPRODUCT(--(B2:K2=INT(B2:K2)))=10),"ok","check")))</f>
        <v/>
      </c>
    </row>
    <row r="3" spans="1:13" x14ac:dyDescent="0.35">
      <c r="A3" s="2" t="s">
        <v>25</v>
      </c>
      <c r="B3" s="9"/>
      <c r="C3" s="9"/>
      <c r="D3" s="9"/>
      <c r="E3" s="9"/>
      <c r="F3" s="9"/>
      <c r="G3" s="9"/>
      <c r="H3" s="9"/>
      <c r="I3" s="9"/>
      <c r="J3" s="9"/>
      <c r="K3" s="9"/>
      <c r="L3" s="10" t="str">
        <f t="shared" si="0"/>
        <v/>
      </c>
      <c r="M3" s="11" t="str">
        <f t="shared" si="1"/>
        <v/>
      </c>
    </row>
    <row r="4" spans="1:13" x14ac:dyDescent="0.35">
      <c r="A4" s="2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10" t="str">
        <f t="shared" si="0"/>
        <v/>
      </c>
      <c r="M4" s="11" t="str">
        <f t="shared" si="1"/>
        <v/>
      </c>
    </row>
    <row r="5" spans="1:13" x14ac:dyDescent="0.35">
      <c r="A5" s="2" t="s">
        <v>27</v>
      </c>
      <c r="B5" s="9"/>
      <c r="C5" s="9"/>
      <c r="D5" s="9"/>
      <c r="E5" s="9"/>
      <c r="F5" s="9"/>
      <c r="G5" s="9"/>
      <c r="H5" s="9"/>
      <c r="I5" s="9"/>
      <c r="J5" s="9"/>
      <c r="K5" s="9"/>
      <c r="L5" s="10" t="str">
        <f t="shared" si="0"/>
        <v/>
      </c>
      <c r="M5" s="11" t="str">
        <f t="shared" si="1"/>
        <v/>
      </c>
    </row>
    <row r="6" spans="1:13" x14ac:dyDescent="0.35">
      <c r="A6" s="2" t="s">
        <v>28</v>
      </c>
      <c r="B6" s="9"/>
      <c r="C6" s="9"/>
      <c r="D6" s="9"/>
      <c r="E6" s="9"/>
      <c r="F6" s="9"/>
      <c r="G6" s="9"/>
      <c r="H6" s="9"/>
      <c r="I6" s="9"/>
      <c r="J6" s="9"/>
      <c r="K6" s="9"/>
      <c r="L6" s="10" t="str">
        <f t="shared" si="0"/>
        <v/>
      </c>
      <c r="M6" s="11" t="str">
        <f t="shared" si="1"/>
        <v/>
      </c>
    </row>
    <row r="7" spans="1:13" x14ac:dyDescent="0.35">
      <c r="A7" s="2" t="s">
        <v>29</v>
      </c>
      <c r="B7" s="9"/>
      <c r="C7" s="9"/>
      <c r="D7" s="9"/>
      <c r="E7" s="9"/>
      <c r="F7" s="9"/>
      <c r="G7" s="9"/>
      <c r="H7" s="9"/>
      <c r="I7" s="9"/>
      <c r="J7" s="9"/>
      <c r="K7" s="9"/>
      <c r="L7" s="10" t="str">
        <f t="shared" si="0"/>
        <v/>
      </c>
      <c r="M7" s="11" t="str">
        <f t="shared" si="1"/>
        <v/>
      </c>
    </row>
    <row r="8" spans="1:13" x14ac:dyDescent="0.35">
      <c r="A8" s="2" t="s">
        <v>30</v>
      </c>
      <c r="B8" s="9"/>
      <c r="C8" s="9"/>
      <c r="D8" s="9"/>
      <c r="E8" s="9"/>
      <c r="F8" s="9"/>
      <c r="G8" s="9"/>
      <c r="H8" s="9"/>
      <c r="I8" s="9"/>
      <c r="J8" s="9"/>
      <c r="K8" s="9"/>
      <c r="L8" s="10" t="str">
        <f t="shared" si="0"/>
        <v/>
      </c>
      <c r="M8" s="11" t="str">
        <f t="shared" si="1"/>
        <v/>
      </c>
    </row>
    <row r="9" spans="1:13" x14ac:dyDescent="0.35">
      <c r="A9" s="2" t="s">
        <v>31</v>
      </c>
      <c r="B9" s="9"/>
      <c r="C9" s="9"/>
      <c r="D9" s="9"/>
      <c r="E9" s="9"/>
      <c r="F9" s="9"/>
      <c r="G9" s="9"/>
      <c r="H9" s="9"/>
      <c r="I9" s="9"/>
      <c r="J9" s="9"/>
      <c r="K9" s="9"/>
      <c r="L9" s="10" t="str">
        <f t="shared" si="0"/>
        <v/>
      </c>
      <c r="M9" s="11" t="str">
        <f t="shared" si="1"/>
        <v/>
      </c>
    </row>
    <row r="10" spans="1:13" x14ac:dyDescent="0.35">
      <c r="A10" s="2" t="s">
        <v>32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 t="str">
        <f t="shared" si="0"/>
        <v/>
      </c>
      <c r="M10" s="11" t="str">
        <f t="shared" si="1"/>
        <v/>
      </c>
    </row>
    <row r="11" spans="1:13" x14ac:dyDescent="0.35">
      <c r="A11" s="2" t="s">
        <v>33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 t="str">
        <f t="shared" si="0"/>
        <v/>
      </c>
      <c r="M11" s="11" t="str">
        <f t="shared" si="1"/>
        <v/>
      </c>
    </row>
    <row r="12" spans="1:13" x14ac:dyDescent="0.35">
      <c r="A12" s="2" t="s">
        <v>34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 t="str">
        <f t="shared" si="0"/>
        <v/>
      </c>
      <c r="M12" s="11" t="str">
        <f t="shared" si="1"/>
        <v/>
      </c>
    </row>
    <row r="13" spans="1:13" x14ac:dyDescent="0.35">
      <c r="A13" s="2" t="s">
        <v>35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 t="str">
        <f t="shared" si="0"/>
        <v/>
      </c>
      <c r="M13" s="11" t="str">
        <f t="shared" si="1"/>
        <v/>
      </c>
    </row>
    <row r="14" spans="1:13" x14ac:dyDescent="0.35">
      <c r="A14" s="2" t="s">
        <v>36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 t="str">
        <f t="shared" si="0"/>
        <v/>
      </c>
      <c r="M14" s="11" t="str">
        <f t="shared" si="1"/>
        <v/>
      </c>
    </row>
    <row r="15" spans="1:13" x14ac:dyDescent="0.35">
      <c r="A15" s="2" t="s">
        <v>37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10" t="str">
        <f t="shared" si="0"/>
        <v/>
      </c>
      <c r="M15" s="11" t="str">
        <f t="shared" si="1"/>
        <v/>
      </c>
    </row>
    <row r="16" spans="1:13" x14ac:dyDescent="0.35">
      <c r="A16" s="2" t="s">
        <v>38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10" t="str">
        <f t="shared" si="0"/>
        <v/>
      </c>
      <c r="M16" s="11" t="str">
        <f t="shared" si="1"/>
        <v/>
      </c>
    </row>
    <row r="17" spans="1:13" x14ac:dyDescent="0.35">
      <c r="A17" s="2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10" t="str">
        <f t="shared" si="0"/>
        <v/>
      </c>
      <c r="M17" s="11" t="str">
        <f t="shared" si="1"/>
        <v/>
      </c>
    </row>
    <row r="18" spans="1:13" x14ac:dyDescent="0.35">
      <c r="A18" s="2" t="s">
        <v>40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0" t="str">
        <f t="shared" si="0"/>
        <v/>
      </c>
      <c r="M18" s="11" t="str">
        <f t="shared" si="1"/>
        <v/>
      </c>
    </row>
    <row r="19" spans="1:13" x14ac:dyDescent="0.35">
      <c r="A19" s="2" t="s">
        <v>41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 t="shared" si="0"/>
        <v/>
      </c>
      <c r="M19" s="11" t="str">
        <f t="shared" si="1"/>
        <v/>
      </c>
    </row>
    <row r="20" spans="1:13" x14ac:dyDescent="0.35">
      <c r="A20" s="2" t="s">
        <v>42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10" t="str">
        <f t="shared" si="0"/>
        <v/>
      </c>
      <c r="M20" s="11" t="str">
        <f t="shared" si="1"/>
        <v/>
      </c>
    </row>
    <row r="21" spans="1:13" x14ac:dyDescent="0.35">
      <c r="A21" s="2" t="s">
        <v>43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10" t="str">
        <f t="shared" si="0"/>
        <v/>
      </c>
      <c r="M21" s="11" t="str">
        <f t="shared" si="1"/>
        <v/>
      </c>
    </row>
    <row r="22" spans="1:13" x14ac:dyDescent="0.35">
      <c r="A22" s="2" t="s">
        <v>44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 t="str">
        <f t="shared" si="0"/>
        <v/>
      </c>
      <c r="M22" s="11" t="str">
        <f t="shared" si="1"/>
        <v/>
      </c>
    </row>
    <row r="23" spans="1:13" x14ac:dyDescent="0.35">
      <c r="A23" s="2" t="s">
        <v>45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10" t="str">
        <f t="shared" si="0"/>
        <v/>
      </c>
      <c r="M23" s="11" t="str">
        <f t="shared" si="1"/>
        <v/>
      </c>
    </row>
    <row r="24" spans="1:13" x14ac:dyDescent="0.35">
      <c r="A24" s="2" t="s">
        <v>46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0" t="str">
        <f t="shared" si="0"/>
        <v/>
      </c>
      <c r="M24" s="11" t="str">
        <f t="shared" si="1"/>
        <v/>
      </c>
    </row>
    <row r="25" spans="1:13" x14ac:dyDescent="0.35">
      <c r="A25" s="2" t="s">
        <v>47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10" t="str">
        <f t="shared" si="0"/>
        <v/>
      </c>
      <c r="M25" s="11" t="str">
        <f t="shared" si="1"/>
        <v/>
      </c>
    </row>
    <row r="26" spans="1:13" x14ac:dyDescent="0.35">
      <c r="A26" s="2" t="s">
        <v>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0" t="str">
        <f t="shared" si="0"/>
        <v/>
      </c>
      <c r="M26" s="11" t="str">
        <f t="shared" si="1"/>
        <v/>
      </c>
    </row>
    <row r="27" spans="1:13" x14ac:dyDescent="0.35">
      <c r="A27" s="2" t="s">
        <v>49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10" t="str">
        <f t="shared" si="0"/>
        <v/>
      </c>
      <c r="M27" s="11" t="str">
        <f t="shared" si="1"/>
        <v/>
      </c>
    </row>
    <row r="28" spans="1:13" x14ac:dyDescent="0.35">
      <c r="A28" s="2" t="s">
        <v>50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10" t="str">
        <f t="shared" si="0"/>
        <v/>
      </c>
      <c r="M28" s="11" t="str">
        <f t="shared" si="1"/>
        <v/>
      </c>
    </row>
    <row r="29" spans="1:13" x14ac:dyDescent="0.35">
      <c r="A29" s="2" t="s">
        <v>51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0" t="str">
        <f t="shared" si="0"/>
        <v/>
      </c>
      <c r="M29" s="11" t="str">
        <f t="shared" si="1"/>
        <v/>
      </c>
    </row>
    <row r="30" spans="1:13" x14ac:dyDescent="0.35">
      <c r="A30" s="2" t="s">
        <v>52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 t="str">
        <f t="shared" si="0"/>
        <v/>
      </c>
      <c r="M30" s="11" t="str">
        <f t="shared" si="1"/>
        <v/>
      </c>
    </row>
    <row r="31" spans="1:13" x14ac:dyDescent="0.35">
      <c r="A31" s="2" t="s">
        <v>53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10" t="str">
        <f t="shared" si="0"/>
        <v/>
      </c>
      <c r="M31" s="11" t="str">
        <f t="shared" si="1"/>
        <v/>
      </c>
    </row>
    <row r="32" spans="1:13" x14ac:dyDescent="0.35">
      <c r="A32" s="2" t="s">
        <v>54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10" t="str">
        <f t="shared" si="0"/>
        <v/>
      </c>
      <c r="M32" s="11" t="str">
        <f t="shared" si="1"/>
        <v/>
      </c>
    </row>
    <row r="33" spans="1:13" x14ac:dyDescent="0.35">
      <c r="A33" s="2" t="s">
        <v>55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10" t="str">
        <f t="shared" si="0"/>
        <v/>
      </c>
      <c r="M33" s="11" t="str">
        <f t="shared" si="1"/>
        <v/>
      </c>
    </row>
    <row r="34" spans="1:13" x14ac:dyDescent="0.35">
      <c r="A34" s="2" t="s">
        <v>56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10" t="str">
        <f t="shared" ref="L34:L65" si="2">IF(M34="ok",((B34-1)+(D34-1)+(F34-1)+(H34-1)+(J34-1)+(5-C34)+(5-E34)+(5-G34)+(5-I34)+(5-K34))*2.5,"")</f>
        <v/>
      </c>
      <c r="M34" s="11" t="str">
        <f t="shared" ref="M34:M65" si="3">IF(COUNTA(B34:K34)=0,"",IF(COUNT(B34:K34)&lt;&gt;10,"check",IF(AND(MIN(B34:K34)&gt;=1,MAX(B34:K34)&lt;=5,SUMPRODUCT(--(B34:K34=INT(B34:K34)))=10),"ok","check")))</f>
        <v/>
      </c>
    </row>
    <row r="35" spans="1:13" x14ac:dyDescent="0.35">
      <c r="A35" s="2" t="s">
        <v>57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10" t="str">
        <f t="shared" si="2"/>
        <v/>
      </c>
      <c r="M35" s="11" t="str">
        <f t="shared" si="3"/>
        <v/>
      </c>
    </row>
    <row r="36" spans="1:13" x14ac:dyDescent="0.35">
      <c r="A36" s="2" t="s">
        <v>58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10" t="str">
        <f t="shared" si="2"/>
        <v/>
      </c>
      <c r="M36" s="11" t="str">
        <f t="shared" si="3"/>
        <v/>
      </c>
    </row>
    <row r="37" spans="1:13" x14ac:dyDescent="0.35">
      <c r="A37" s="2" t="s">
        <v>59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10" t="str">
        <f t="shared" si="2"/>
        <v/>
      </c>
      <c r="M37" s="11" t="str">
        <f t="shared" si="3"/>
        <v/>
      </c>
    </row>
    <row r="38" spans="1:13" x14ac:dyDescent="0.35">
      <c r="A38" s="2" t="s">
        <v>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10" t="str">
        <f t="shared" si="2"/>
        <v/>
      </c>
      <c r="M38" s="11" t="str">
        <f t="shared" si="3"/>
        <v/>
      </c>
    </row>
    <row r="39" spans="1:13" x14ac:dyDescent="0.35">
      <c r="A39" s="2" t="s">
        <v>61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10" t="str">
        <f t="shared" si="2"/>
        <v/>
      </c>
      <c r="M39" s="11" t="str">
        <f t="shared" si="3"/>
        <v/>
      </c>
    </row>
    <row r="40" spans="1:13" x14ac:dyDescent="0.35">
      <c r="A40" s="2" t="s">
        <v>62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10" t="str">
        <f t="shared" si="2"/>
        <v/>
      </c>
      <c r="M40" s="11" t="str">
        <f t="shared" si="3"/>
        <v/>
      </c>
    </row>
    <row r="41" spans="1:13" x14ac:dyDescent="0.35">
      <c r="A41" s="2" t="s">
        <v>63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10" t="str">
        <f t="shared" si="2"/>
        <v/>
      </c>
      <c r="M41" s="11" t="str">
        <f t="shared" si="3"/>
        <v/>
      </c>
    </row>
    <row r="42" spans="1:13" x14ac:dyDescent="0.35">
      <c r="A42" s="2" t="s">
        <v>64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10" t="str">
        <f t="shared" si="2"/>
        <v/>
      </c>
      <c r="M42" s="11" t="str">
        <f t="shared" si="3"/>
        <v/>
      </c>
    </row>
    <row r="43" spans="1:13" x14ac:dyDescent="0.35">
      <c r="A43" s="2" t="s">
        <v>65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10" t="str">
        <f t="shared" si="2"/>
        <v/>
      </c>
      <c r="M43" s="11" t="str">
        <f t="shared" si="3"/>
        <v/>
      </c>
    </row>
    <row r="44" spans="1:13" x14ac:dyDescent="0.35">
      <c r="A44" s="2" t="s">
        <v>66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10" t="str">
        <f t="shared" si="2"/>
        <v/>
      </c>
      <c r="M44" s="11" t="str">
        <f t="shared" si="3"/>
        <v/>
      </c>
    </row>
    <row r="45" spans="1:13" x14ac:dyDescent="0.35">
      <c r="A45" s="2" t="s">
        <v>67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10" t="str">
        <f t="shared" si="2"/>
        <v/>
      </c>
      <c r="M45" s="11" t="str">
        <f t="shared" si="3"/>
        <v/>
      </c>
    </row>
    <row r="46" spans="1:13" x14ac:dyDescent="0.35">
      <c r="A46" s="2" t="s">
        <v>68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10" t="str">
        <f t="shared" si="2"/>
        <v/>
      </c>
      <c r="M46" s="11" t="str">
        <f t="shared" si="3"/>
        <v/>
      </c>
    </row>
    <row r="47" spans="1:13" x14ac:dyDescent="0.35">
      <c r="A47" s="2" t="s">
        <v>69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10" t="str">
        <f t="shared" si="2"/>
        <v/>
      </c>
      <c r="M47" s="11" t="str">
        <f t="shared" si="3"/>
        <v/>
      </c>
    </row>
    <row r="48" spans="1:13" x14ac:dyDescent="0.35">
      <c r="A48" s="2" t="s">
        <v>70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10" t="str">
        <f t="shared" si="2"/>
        <v/>
      </c>
      <c r="M48" s="11" t="str">
        <f t="shared" si="3"/>
        <v/>
      </c>
    </row>
    <row r="49" spans="1:13" x14ac:dyDescent="0.35">
      <c r="A49" s="2" t="s">
        <v>71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10" t="str">
        <f t="shared" si="2"/>
        <v/>
      </c>
      <c r="M49" s="11" t="str">
        <f t="shared" si="3"/>
        <v/>
      </c>
    </row>
    <row r="50" spans="1:13" x14ac:dyDescent="0.35">
      <c r="A50" s="2" t="s">
        <v>72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10" t="str">
        <f t="shared" si="2"/>
        <v/>
      </c>
      <c r="M50" s="11" t="str">
        <f t="shared" si="3"/>
        <v/>
      </c>
    </row>
    <row r="51" spans="1:13" x14ac:dyDescent="0.35">
      <c r="A51" s="2" t="s">
        <v>73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0" t="str">
        <f t="shared" si="2"/>
        <v/>
      </c>
      <c r="M51" s="11" t="str">
        <f t="shared" si="3"/>
        <v/>
      </c>
    </row>
    <row r="52" spans="1:13" x14ac:dyDescent="0.35">
      <c r="A52" s="2" t="s">
        <v>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10" t="str">
        <f t="shared" si="2"/>
        <v/>
      </c>
      <c r="M52" s="11" t="str">
        <f t="shared" si="3"/>
        <v/>
      </c>
    </row>
    <row r="53" spans="1:13" x14ac:dyDescent="0.35">
      <c r="A53" s="2" t="s">
        <v>75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10" t="str">
        <f t="shared" si="2"/>
        <v/>
      </c>
      <c r="M53" s="11" t="str">
        <f t="shared" si="3"/>
        <v/>
      </c>
    </row>
    <row r="54" spans="1:13" x14ac:dyDescent="0.35">
      <c r="A54" s="2" t="s">
        <v>76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10" t="str">
        <f t="shared" si="2"/>
        <v/>
      </c>
      <c r="M54" s="11" t="str">
        <f t="shared" si="3"/>
        <v/>
      </c>
    </row>
    <row r="55" spans="1:13" x14ac:dyDescent="0.35">
      <c r="A55" s="2" t="s">
        <v>77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10" t="str">
        <f t="shared" si="2"/>
        <v/>
      </c>
      <c r="M55" s="11" t="str">
        <f t="shared" si="3"/>
        <v/>
      </c>
    </row>
    <row r="56" spans="1:13" x14ac:dyDescent="0.35">
      <c r="A56" s="2" t="s">
        <v>78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10" t="str">
        <f t="shared" si="2"/>
        <v/>
      </c>
      <c r="M56" s="11" t="str">
        <f t="shared" si="3"/>
        <v/>
      </c>
    </row>
    <row r="57" spans="1:13" x14ac:dyDescent="0.35">
      <c r="A57" s="2" t="s">
        <v>79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10" t="str">
        <f t="shared" si="2"/>
        <v/>
      </c>
      <c r="M57" s="11" t="str">
        <f t="shared" si="3"/>
        <v/>
      </c>
    </row>
    <row r="58" spans="1:13" x14ac:dyDescent="0.35">
      <c r="A58" s="2" t="s">
        <v>80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10" t="str">
        <f t="shared" si="2"/>
        <v/>
      </c>
      <c r="M58" s="11" t="str">
        <f t="shared" si="3"/>
        <v/>
      </c>
    </row>
    <row r="59" spans="1:13" x14ac:dyDescent="0.35">
      <c r="A59" s="2" t="s">
        <v>81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10" t="str">
        <f t="shared" si="2"/>
        <v/>
      </c>
      <c r="M59" s="11" t="str">
        <f t="shared" si="3"/>
        <v/>
      </c>
    </row>
    <row r="60" spans="1:13" x14ac:dyDescent="0.35">
      <c r="A60" s="2" t="s">
        <v>82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10" t="str">
        <f t="shared" si="2"/>
        <v/>
      </c>
      <c r="M60" s="11" t="str">
        <f t="shared" si="3"/>
        <v/>
      </c>
    </row>
    <row r="61" spans="1:13" x14ac:dyDescent="0.35">
      <c r="A61" s="2" t="s">
        <v>83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10" t="str">
        <f t="shared" si="2"/>
        <v/>
      </c>
      <c r="M61" s="11" t="str">
        <f t="shared" si="3"/>
        <v/>
      </c>
    </row>
    <row r="62" spans="1:13" x14ac:dyDescent="0.35">
      <c r="A62" s="2" t="s">
        <v>84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10" t="str">
        <f t="shared" si="2"/>
        <v/>
      </c>
      <c r="M62" s="11" t="str">
        <f t="shared" si="3"/>
        <v/>
      </c>
    </row>
    <row r="63" spans="1:13" x14ac:dyDescent="0.35">
      <c r="A63" s="2" t="s">
        <v>85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10" t="str">
        <f t="shared" si="2"/>
        <v/>
      </c>
      <c r="M63" s="11" t="str">
        <f t="shared" si="3"/>
        <v/>
      </c>
    </row>
    <row r="64" spans="1:13" x14ac:dyDescent="0.35">
      <c r="A64" s="2" t="s">
        <v>86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10" t="str">
        <f t="shared" si="2"/>
        <v/>
      </c>
      <c r="M64" s="11" t="str">
        <f t="shared" si="3"/>
        <v/>
      </c>
    </row>
    <row r="65" spans="1:13" x14ac:dyDescent="0.35">
      <c r="A65" s="2" t="s">
        <v>87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10" t="str">
        <f t="shared" si="2"/>
        <v/>
      </c>
      <c r="M65" s="11" t="str">
        <f t="shared" si="3"/>
        <v/>
      </c>
    </row>
    <row r="66" spans="1:13" x14ac:dyDescent="0.35">
      <c r="A66" s="2" t="s">
        <v>88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10" t="str">
        <f t="shared" ref="L66:L97" si="4">IF(M66="ok",((B66-1)+(D66-1)+(F66-1)+(H66-1)+(J66-1)+(5-C66)+(5-E66)+(5-G66)+(5-I66)+(5-K66))*2.5,"")</f>
        <v/>
      </c>
      <c r="M66" s="11" t="str">
        <f t="shared" ref="M66:M97" si="5">IF(COUNTA(B66:K66)=0,"",IF(COUNT(B66:K66)&lt;&gt;10,"check",IF(AND(MIN(B66:K66)&gt;=1,MAX(B66:K66)&lt;=5,SUMPRODUCT(--(B66:K66=INT(B66:K66)))=10),"ok","check")))</f>
        <v/>
      </c>
    </row>
    <row r="67" spans="1:13" x14ac:dyDescent="0.35">
      <c r="A67" s="2" t="s">
        <v>89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10" t="str">
        <f t="shared" si="4"/>
        <v/>
      </c>
      <c r="M67" s="11" t="str">
        <f t="shared" si="5"/>
        <v/>
      </c>
    </row>
    <row r="68" spans="1:13" x14ac:dyDescent="0.35">
      <c r="A68" s="2" t="s">
        <v>90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10" t="str">
        <f t="shared" si="4"/>
        <v/>
      </c>
      <c r="M68" s="11" t="str">
        <f t="shared" si="5"/>
        <v/>
      </c>
    </row>
    <row r="69" spans="1:13" x14ac:dyDescent="0.35">
      <c r="A69" s="2" t="s">
        <v>91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10" t="str">
        <f t="shared" si="4"/>
        <v/>
      </c>
      <c r="M69" s="11" t="str">
        <f t="shared" si="5"/>
        <v/>
      </c>
    </row>
    <row r="70" spans="1:13" x14ac:dyDescent="0.35">
      <c r="A70" s="2" t="s">
        <v>92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10" t="str">
        <f t="shared" si="4"/>
        <v/>
      </c>
      <c r="M70" s="11" t="str">
        <f t="shared" si="5"/>
        <v/>
      </c>
    </row>
    <row r="71" spans="1:13" x14ac:dyDescent="0.35">
      <c r="A71" s="2" t="s">
        <v>93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10" t="str">
        <f t="shared" si="4"/>
        <v/>
      </c>
      <c r="M71" s="11" t="str">
        <f t="shared" si="5"/>
        <v/>
      </c>
    </row>
    <row r="72" spans="1:13" x14ac:dyDescent="0.35">
      <c r="A72" s="2" t="s">
        <v>94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10" t="str">
        <f t="shared" si="4"/>
        <v/>
      </c>
      <c r="M72" s="11" t="str">
        <f t="shared" si="5"/>
        <v/>
      </c>
    </row>
    <row r="73" spans="1:13" x14ac:dyDescent="0.35">
      <c r="A73" s="2" t="s">
        <v>95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10" t="str">
        <f t="shared" si="4"/>
        <v/>
      </c>
      <c r="M73" s="11" t="str">
        <f t="shared" si="5"/>
        <v/>
      </c>
    </row>
    <row r="74" spans="1:13" x14ac:dyDescent="0.35">
      <c r="A74" s="2" t="s">
        <v>96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10" t="str">
        <f t="shared" si="4"/>
        <v/>
      </c>
      <c r="M74" s="11" t="str">
        <f t="shared" si="5"/>
        <v/>
      </c>
    </row>
    <row r="75" spans="1:13" x14ac:dyDescent="0.35">
      <c r="A75" s="2" t="s">
        <v>97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10" t="str">
        <f t="shared" si="4"/>
        <v/>
      </c>
      <c r="M75" s="11" t="str">
        <f t="shared" si="5"/>
        <v/>
      </c>
    </row>
    <row r="76" spans="1:13" x14ac:dyDescent="0.35">
      <c r="A76" s="2" t="s">
        <v>98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10" t="str">
        <f t="shared" si="4"/>
        <v/>
      </c>
      <c r="M76" s="11" t="str">
        <f t="shared" si="5"/>
        <v/>
      </c>
    </row>
    <row r="77" spans="1:13" x14ac:dyDescent="0.35">
      <c r="A77" s="2" t="s">
        <v>99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10" t="str">
        <f t="shared" si="4"/>
        <v/>
      </c>
      <c r="M77" s="11" t="str">
        <f t="shared" si="5"/>
        <v/>
      </c>
    </row>
    <row r="78" spans="1:13" x14ac:dyDescent="0.35">
      <c r="A78" s="2" t="s">
        <v>100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10" t="str">
        <f t="shared" si="4"/>
        <v/>
      </c>
      <c r="M78" s="11" t="str">
        <f t="shared" si="5"/>
        <v/>
      </c>
    </row>
    <row r="79" spans="1:13" x14ac:dyDescent="0.35">
      <c r="A79" s="2" t="s">
        <v>101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10" t="str">
        <f t="shared" si="4"/>
        <v/>
      </c>
      <c r="M79" s="11" t="str">
        <f t="shared" si="5"/>
        <v/>
      </c>
    </row>
    <row r="80" spans="1:13" x14ac:dyDescent="0.35">
      <c r="A80" s="2" t="s">
        <v>102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10" t="str">
        <f t="shared" si="4"/>
        <v/>
      </c>
      <c r="M80" s="11" t="str">
        <f t="shared" si="5"/>
        <v/>
      </c>
    </row>
    <row r="81" spans="1:13" x14ac:dyDescent="0.35">
      <c r="A81" s="2" t="s">
        <v>103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10" t="str">
        <f t="shared" si="4"/>
        <v/>
      </c>
      <c r="M81" s="11" t="str">
        <f t="shared" si="5"/>
        <v/>
      </c>
    </row>
    <row r="82" spans="1:13" x14ac:dyDescent="0.35">
      <c r="A82" s="2" t="s">
        <v>104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10" t="str">
        <f t="shared" si="4"/>
        <v/>
      </c>
      <c r="M82" s="11" t="str">
        <f t="shared" si="5"/>
        <v/>
      </c>
    </row>
    <row r="83" spans="1:13" x14ac:dyDescent="0.35">
      <c r="A83" s="2" t="s">
        <v>105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10" t="str">
        <f t="shared" si="4"/>
        <v/>
      </c>
      <c r="M83" s="11" t="str">
        <f t="shared" si="5"/>
        <v/>
      </c>
    </row>
    <row r="84" spans="1:13" x14ac:dyDescent="0.35">
      <c r="A84" s="2" t="s">
        <v>106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10" t="str">
        <f t="shared" si="4"/>
        <v/>
      </c>
      <c r="M84" s="11" t="str">
        <f t="shared" si="5"/>
        <v/>
      </c>
    </row>
    <row r="85" spans="1:13" x14ac:dyDescent="0.35">
      <c r="A85" s="2" t="s">
        <v>107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10" t="str">
        <f t="shared" si="4"/>
        <v/>
      </c>
      <c r="M85" s="11" t="str">
        <f t="shared" si="5"/>
        <v/>
      </c>
    </row>
    <row r="86" spans="1:13" x14ac:dyDescent="0.35">
      <c r="A86" s="2" t="s">
        <v>108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10" t="str">
        <f t="shared" si="4"/>
        <v/>
      </c>
      <c r="M86" s="11" t="str">
        <f t="shared" si="5"/>
        <v/>
      </c>
    </row>
    <row r="87" spans="1:13" x14ac:dyDescent="0.35">
      <c r="A87" s="2" t="s">
        <v>109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10" t="str">
        <f t="shared" si="4"/>
        <v/>
      </c>
      <c r="M87" s="11" t="str">
        <f t="shared" si="5"/>
        <v/>
      </c>
    </row>
    <row r="88" spans="1:13" x14ac:dyDescent="0.35">
      <c r="A88" s="2" t="s">
        <v>110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10" t="str">
        <f t="shared" si="4"/>
        <v/>
      </c>
      <c r="M88" s="11" t="str">
        <f t="shared" si="5"/>
        <v/>
      </c>
    </row>
    <row r="89" spans="1:13" x14ac:dyDescent="0.35">
      <c r="A89" s="2" t="s">
        <v>111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10" t="str">
        <f t="shared" si="4"/>
        <v/>
      </c>
      <c r="M89" s="11" t="str">
        <f t="shared" si="5"/>
        <v/>
      </c>
    </row>
    <row r="90" spans="1:13" x14ac:dyDescent="0.35">
      <c r="A90" s="2" t="s">
        <v>112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10" t="str">
        <f t="shared" si="4"/>
        <v/>
      </c>
      <c r="M90" s="11" t="str">
        <f t="shared" si="5"/>
        <v/>
      </c>
    </row>
    <row r="91" spans="1:13" x14ac:dyDescent="0.35">
      <c r="A91" s="2" t="s">
        <v>113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10" t="str">
        <f t="shared" si="4"/>
        <v/>
      </c>
      <c r="M91" s="11" t="str">
        <f t="shared" si="5"/>
        <v/>
      </c>
    </row>
    <row r="92" spans="1:13" x14ac:dyDescent="0.35">
      <c r="A92" s="2" t="s">
        <v>114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10" t="str">
        <f t="shared" si="4"/>
        <v/>
      </c>
      <c r="M92" s="11" t="str">
        <f t="shared" si="5"/>
        <v/>
      </c>
    </row>
    <row r="93" spans="1:13" x14ac:dyDescent="0.35">
      <c r="A93" s="2" t="s">
        <v>115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10" t="str">
        <f t="shared" si="4"/>
        <v/>
      </c>
      <c r="M93" s="11" t="str">
        <f t="shared" si="5"/>
        <v/>
      </c>
    </row>
    <row r="94" spans="1:13" x14ac:dyDescent="0.35">
      <c r="A94" s="2" t="s">
        <v>116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10" t="str">
        <f t="shared" si="4"/>
        <v/>
      </c>
      <c r="M94" s="11" t="str">
        <f t="shared" si="5"/>
        <v/>
      </c>
    </row>
    <row r="95" spans="1:13" x14ac:dyDescent="0.35">
      <c r="A95" s="2" t="s">
        <v>117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10" t="str">
        <f t="shared" si="4"/>
        <v/>
      </c>
      <c r="M95" s="11" t="str">
        <f t="shared" si="5"/>
        <v/>
      </c>
    </row>
    <row r="96" spans="1:13" x14ac:dyDescent="0.35">
      <c r="A96" s="2" t="s">
        <v>118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10" t="str">
        <f t="shared" si="4"/>
        <v/>
      </c>
      <c r="M96" s="11" t="str">
        <f t="shared" si="5"/>
        <v/>
      </c>
    </row>
    <row r="97" spans="1:13" x14ac:dyDescent="0.35">
      <c r="A97" s="2" t="s">
        <v>119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10" t="str">
        <f t="shared" si="4"/>
        <v/>
      </c>
      <c r="M97" s="11" t="str">
        <f t="shared" si="5"/>
        <v/>
      </c>
    </row>
    <row r="98" spans="1:13" x14ac:dyDescent="0.35">
      <c r="A98" s="2" t="s">
        <v>120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10" t="str">
        <f t="shared" ref="L98:L129" si="6">IF(M98="ok",((B98-1)+(D98-1)+(F98-1)+(H98-1)+(J98-1)+(5-C98)+(5-E98)+(5-G98)+(5-I98)+(5-K98))*2.5,"")</f>
        <v/>
      </c>
      <c r="M98" s="11" t="str">
        <f t="shared" ref="M98:M121" si="7">IF(COUNTA(B98:K98)=0,"",IF(COUNT(B98:K98)&lt;&gt;10,"check",IF(AND(MIN(B98:K98)&gt;=1,MAX(B98:K98)&lt;=5,SUMPRODUCT(--(B98:K98=INT(B98:K98)))=10),"ok","check")))</f>
        <v/>
      </c>
    </row>
    <row r="99" spans="1:13" x14ac:dyDescent="0.35">
      <c r="A99" s="2" t="s">
        <v>121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10" t="str">
        <f t="shared" si="6"/>
        <v/>
      </c>
      <c r="M99" s="11" t="str">
        <f t="shared" si="7"/>
        <v/>
      </c>
    </row>
    <row r="100" spans="1:13" x14ac:dyDescent="0.35">
      <c r="A100" s="2" t="s">
        <v>122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0" t="str">
        <f t="shared" si="6"/>
        <v/>
      </c>
      <c r="M100" s="11" t="str">
        <f t="shared" si="7"/>
        <v/>
      </c>
    </row>
    <row r="101" spans="1:13" x14ac:dyDescent="0.35">
      <c r="A101" s="2" t="s">
        <v>123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0" t="str">
        <f t="shared" si="6"/>
        <v/>
      </c>
      <c r="M101" s="11" t="str">
        <f t="shared" si="7"/>
        <v/>
      </c>
    </row>
    <row r="102" spans="1:13" x14ac:dyDescent="0.35">
      <c r="A102" s="2" t="s">
        <v>124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 t="str">
        <f t="shared" si="6"/>
        <v/>
      </c>
      <c r="M102" s="11" t="str">
        <f t="shared" si="7"/>
        <v/>
      </c>
    </row>
    <row r="103" spans="1:13" x14ac:dyDescent="0.35">
      <c r="A103" s="2" t="s">
        <v>125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 t="str">
        <f t="shared" si="6"/>
        <v/>
      </c>
      <c r="M103" s="11" t="str">
        <f t="shared" si="7"/>
        <v/>
      </c>
    </row>
    <row r="104" spans="1:13" x14ac:dyDescent="0.35">
      <c r="A104" s="2" t="s">
        <v>126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 t="str">
        <f t="shared" si="6"/>
        <v/>
      </c>
      <c r="M104" s="11" t="str">
        <f t="shared" si="7"/>
        <v/>
      </c>
    </row>
    <row r="105" spans="1:13" x14ac:dyDescent="0.35">
      <c r="A105" s="2" t="s">
        <v>127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 t="str">
        <f t="shared" si="6"/>
        <v/>
      </c>
      <c r="M105" s="11" t="str">
        <f t="shared" si="7"/>
        <v/>
      </c>
    </row>
    <row r="106" spans="1:13" x14ac:dyDescent="0.35">
      <c r="A106" s="2" t="s">
        <v>128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 t="str">
        <f t="shared" si="6"/>
        <v/>
      </c>
      <c r="M106" s="11" t="str">
        <f t="shared" si="7"/>
        <v/>
      </c>
    </row>
    <row r="107" spans="1:13" x14ac:dyDescent="0.35">
      <c r="A107" s="2" t="s">
        <v>129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 t="str">
        <f t="shared" si="6"/>
        <v/>
      </c>
      <c r="M107" s="11" t="str">
        <f t="shared" si="7"/>
        <v/>
      </c>
    </row>
    <row r="108" spans="1:13" x14ac:dyDescent="0.35">
      <c r="A108" s="2" t="s">
        <v>130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 t="str">
        <f t="shared" si="6"/>
        <v/>
      </c>
      <c r="M108" s="11" t="str">
        <f t="shared" si="7"/>
        <v/>
      </c>
    </row>
    <row r="109" spans="1:13" x14ac:dyDescent="0.35">
      <c r="A109" s="2" t="s">
        <v>131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 t="str">
        <f t="shared" si="6"/>
        <v/>
      </c>
      <c r="M109" s="11" t="str">
        <f t="shared" si="7"/>
        <v/>
      </c>
    </row>
    <row r="110" spans="1:13" x14ac:dyDescent="0.35">
      <c r="A110" s="2" t="s">
        <v>132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 t="str">
        <f t="shared" si="6"/>
        <v/>
      </c>
      <c r="M110" s="11" t="str">
        <f t="shared" si="7"/>
        <v/>
      </c>
    </row>
    <row r="111" spans="1:13" x14ac:dyDescent="0.35">
      <c r="A111" s="2" t="s">
        <v>133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 t="str">
        <f t="shared" si="6"/>
        <v/>
      </c>
      <c r="M111" s="11" t="str">
        <f t="shared" si="7"/>
        <v/>
      </c>
    </row>
    <row r="112" spans="1:13" x14ac:dyDescent="0.35">
      <c r="A112" s="2" t="s">
        <v>134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 t="str">
        <f t="shared" si="6"/>
        <v/>
      </c>
      <c r="M112" s="11" t="str">
        <f t="shared" si="7"/>
        <v/>
      </c>
    </row>
    <row r="113" spans="1:13" x14ac:dyDescent="0.35">
      <c r="A113" s="2" t="s">
        <v>135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 t="str">
        <f t="shared" si="6"/>
        <v/>
      </c>
      <c r="M113" s="11" t="str">
        <f t="shared" si="7"/>
        <v/>
      </c>
    </row>
    <row r="114" spans="1:13" x14ac:dyDescent="0.35">
      <c r="A114" s="2" t="s">
        <v>136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 t="str">
        <f t="shared" si="6"/>
        <v/>
      </c>
      <c r="M114" s="11" t="str">
        <f t="shared" si="7"/>
        <v/>
      </c>
    </row>
    <row r="115" spans="1:13" x14ac:dyDescent="0.35">
      <c r="A115" s="2" t="s">
        <v>137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 t="str">
        <f t="shared" si="6"/>
        <v/>
      </c>
      <c r="M115" s="11" t="str">
        <f t="shared" si="7"/>
        <v/>
      </c>
    </row>
    <row r="116" spans="1:13" x14ac:dyDescent="0.35">
      <c r="A116" s="2" t="s">
        <v>138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 t="str">
        <f t="shared" si="6"/>
        <v/>
      </c>
      <c r="M116" s="11" t="str">
        <f t="shared" si="7"/>
        <v/>
      </c>
    </row>
    <row r="117" spans="1:13" x14ac:dyDescent="0.35">
      <c r="A117" s="2" t="s">
        <v>139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 t="str">
        <f t="shared" si="6"/>
        <v/>
      </c>
      <c r="M117" s="11" t="str">
        <f t="shared" si="7"/>
        <v/>
      </c>
    </row>
    <row r="118" spans="1:13" x14ac:dyDescent="0.35">
      <c r="A118" s="2" t="s">
        <v>140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 t="str">
        <f t="shared" si="6"/>
        <v/>
      </c>
      <c r="M118" s="11" t="str">
        <f t="shared" si="7"/>
        <v/>
      </c>
    </row>
    <row r="119" spans="1:13" x14ac:dyDescent="0.35">
      <c r="A119" s="2" t="s">
        <v>141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 t="str">
        <f t="shared" si="6"/>
        <v/>
      </c>
      <c r="M119" s="11" t="str">
        <f t="shared" si="7"/>
        <v/>
      </c>
    </row>
    <row r="120" spans="1:13" x14ac:dyDescent="0.35">
      <c r="A120" s="2" t="s">
        <v>142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 t="str">
        <f t="shared" si="6"/>
        <v/>
      </c>
      <c r="M120" s="11" t="str">
        <f t="shared" si="7"/>
        <v/>
      </c>
    </row>
    <row r="121" spans="1:13" x14ac:dyDescent="0.35">
      <c r="A121" s="2" t="s">
        <v>143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 t="str">
        <f t="shared" si="6"/>
        <v/>
      </c>
      <c r="M121" s="11" t="str">
        <f t="shared" si="7"/>
        <v/>
      </c>
    </row>
  </sheetData>
  <dataValidations count="1">
    <dataValidation type="whole" allowBlank="1" showErrorMessage="1" errorTitle="SUS answers are 1 to 5" error="Enter a whole number from 1 (Strongly disagree) to 5 (Strongly agree)." sqref="B2:K121" xr:uid="{00000000-0002-0000-0100-000000000000}">
      <formula1>1</formula1>
      <formula2>5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showGridLines="0" workbookViewId="0"/>
  </sheetViews>
  <sheetFormatPr defaultRowHeight="14.5" x14ac:dyDescent="0.35"/>
  <cols>
    <col min="1" max="1" width="34" customWidth="1"/>
    <col min="2" max="2" width="22" customWidth="1"/>
    <col min="3" max="3" width="70" customWidth="1"/>
  </cols>
  <sheetData>
    <row r="1" spans="1:3" ht="20" x14ac:dyDescent="0.4">
      <c r="A1" s="1" t="s">
        <v>144</v>
      </c>
    </row>
    <row r="3" spans="1:3" x14ac:dyDescent="0.35">
      <c r="A3" s="12" t="s">
        <v>145</v>
      </c>
      <c r="B3" s="13">
        <f>COUNTIF(Responses!$M$2:$M$121,"ok")</f>
        <v>0</v>
      </c>
      <c r="C3" s="7" t="s">
        <v>146</v>
      </c>
    </row>
    <row r="4" spans="1:3" x14ac:dyDescent="0.35">
      <c r="A4" s="12" t="s">
        <v>147</v>
      </c>
      <c r="B4" s="13">
        <f>COUNTIF(Responses!$M$2:$M$121,"check")</f>
        <v>0</v>
      </c>
      <c r="C4" s="7" t="s">
        <v>148</v>
      </c>
    </row>
    <row r="5" spans="1:3" ht="15.5" x14ac:dyDescent="0.35">
      <c r="A5" s="12" t="s">
        <v>149</v>
      </c>
      <c r="B5" s="14" t="str">
        <f>IF(B3&gt;0,AVERAGE(Responses!$L$2:$L$121),"")</f>
        <v/>
      </c>
      <c r="C5" s="7"/>
    </row>
    <row r="6" spans="1:3" x14ac:dyDescent="0.35">
      <c r="A6" s="12" t="s">
        <v>150</v>
      </c>
      <c r="B6" s="15" t="str">
        <f>IF(B3&gt;1,STDEV(Responses!$L$2:$L$121),"")</f>
        <v/>
      </c>
      <c r="C6" s="7" t="s">
        <v>151</v>
      </c>
    </row>
    <row r="7" spans="1:3" x14ac:dyDescent="0.35">
      <c r="A7" s="12" t="s">
        <v>152</v>
      </c>
      <c r="B7" s="15" t="str">
        <f>IF(B3&gt;0,MEDIAN(Responses!$L$2:$L$121),"")</f>
        <v/>
      </c>
      <c r="C7" s="7"/>
    </row>
    <row r="8" spans="1:3" x14ac:dyDescent="0.35">
      <c r="A8" s="12" t="s">
        <v>153</v>
      </c>
      <c r="B8" s="15" t="str">
        <f>IF(B3&gt;0,MIN(Responses!$L$2:$L$121),"")</f>
        <v/>
      </c>
      <c r="C8" s="7"/>
    </row>
    <row r="9" spans="1:3" x14ac:dyDescent="0.35">
      <c r="A9" s="12" t="s">
        <v>154</v>
      </c>
      <c r="B9" s="15" t="str">
        <f>IF(B3&gt;0,MAX(Responses!$L$2:$L$121),"")</f>
        <v/>
      </c>
      <c r="C9" s="7"/>
    </row>
    <row r="10" spans="1:3" x14ac:dyDescent="0.35">
      <c r="A10" s="12" t="s">
        <v>155</v>
      </c>
      <c r="B10" s="15" t="str">
        <f>IF(B3&gt;1,TINV(0.05,B3-1)*B6/SQRT(B3),"")</f>
        <v/>
      </c>
      <c r="C10" s="7" t="s">
        <v>156</v>
      </c>
    </row>
    <row r="11" spans="1:3" x14ac:dyDescent="0.35">
      <c r="A11" s="12" t="s">
        <v>157</v>
      </c>
      <c r="B11" s="15" t="str">
        <f>IF(B10="","",B5-B10)</f>
        <v/>
      </c>
      <c r="C11" s="7"/>
    </row>
    <row r="12" spans="1:3" x14ac:dyDescent="0.35">
      <c r="A12" s="12" t="s">
        <v>158</v>
      </c>
      <c r="B12" s="15" t="str">
        <f>IF(B10="","",B5+B10)</f>
        <v/>
      </c>
      <c r="C12" s="7"/>
    </row>
    <row r="13" spans="1:3" x14ac:dyDescent="0.35">
      <c r="A13" s="12" t="s">
        <v>159</v>
      </c>
      <c r="B13" s="16" t="str">
        <f>IF(B3=0,"",IF(B5&gt;=80.3,"Grade A — top 10%",IF(B5&gt;=68,"Above average",IF(B5&gt;=51,"Below average","Poor — bottom 15%"))))</f>
        <v/>
      </c>
      <c r="C13" s="7" t="s">
        <v>160</v>
      </c>
    </row>
    <row r="16" spans="1:3" x14ac:dyDescent="0.35">
      <c r="A16" s="3" t="s">
        <v>161</v>
      </c>
    </row>
    <row r="17" spans="1:3" x14ac:dyDescent="0.35">
      <c r="A17" s="17" t="s">
        <v>162</v>
      </c>
      <c r="B17" s="17" t="s">
        <v>163</v>
      </c>
      <c r="C17" s="17" t="s">
        <v>164</v>
      </c>
    </row>
    <row r="18" spans="1:3" x14ac:dyDescent="0.35">
      <c r="A18" s="2" t="s">
        <v>10</v>
      </c>
      <c r="B18" s="18" t="str">
        <f>IF($B$3&gt;0,AVERAGEIFS(Responses!B$2:B$121,Responses!$M$2:$M$121,"ok"),"")</f>
        <v/>
      </c>
      <c r="C18" s="19" t="s">
        <v>165</v>
      </c>
    </row>
    <row r="19" spans="1:3" x14ac:dyDescent="0.35">
      <c r="A19" s="2" t="s">
        <v>11</v>
      </c>
      <c r="B19" s="18" t="str">
        <f>IF($B$3&gt;0,AVERAGEIFS(Responses!C$2:C$121,Responses!$M$2:$M$121,"ok"),"")</f>
        <v/>
      </c>
      <c r="C19" s="19" t="s">
        <v>166</v>
      </c>
    </row>
    <row r="20" spans="1:3" x14ac:dyDescent="0.35">
      <c r="A20" s="2" t="s">
        <v>12</v>
      </c>
      <c r="B20" s="18" t="str">
        <f>IF($B$3&gt;0,AVERAGEIFS(Responses!D$2:D$121,Responses!$M$2:$M$121,"ok"),"")</f>
        <v/>
      </c>
      <c r="C20" s="19" t="s">
        <v>167</v>
      </c>
    </row>
    <row r="21" spans="1:3" x14ac:dyDescent="0.35">
      <c r="A21" s="2" t="s">
        <v>13</v>
      </c>
      <c r="B21" s="18" t="str">
        <f>IF($B$3&gt;0,AVERAGEIFS(Responses!E$2:E$121,Responses!$M$2:$M$121,"ok"),"")</f>
        <v/>
      </c>
      <c r="C21" s="19" t="s">
        <v>168</v>
      </c>
    </row>
    <row r="22" spans="1:3" x14ac:dyDescent="0.35">
      <c r="A22" s="2" t="s">
        <v>14</v>
      </c>
      <c r="B22" s="18" t="str">
        <f>IF($B$3&gt;0,AVERAGEIFS(Responses!F$2:F$121,Responses!$M$2:$M$121,"ok"),"")</f>
        <v/>
      </c>
      <c r="C22" s="19" t="s">
        <v>169</v>
      </c>
    </row>
    <row r="23" spans="1:3" x14ac:dyDescent="0.35">
      <c r="A23" s="2" t="s">
        <v>15</v>
      </c>
      <c r="B23" s="18" t="str">
        <f>IF($B$3&gt;0,AVERAGEIFS(Responses!G$2:G$121,Responses!$M$2:$M$121,"ok"),"")</f>
        <v/>
      </c>
      <c r="C23" s="19" t="s">
        <v>170</v>
      </c>
    </row>
    <row r="24" spans="1:3" x14ac:dyDescent="0.35">
      <c r="A24" s="2" t="s">
        <v>16</v>
      </c>
      <c r="B24" s="18" t="str">
        <f>IF($B$3&gt;0,AVERAGEIFS(Responses!H$2:H$121,Responses!$M$2:$M$121,"ok"),"")</f>
        <v/>
      </c>
      <c r="C24" s="19" t="s">
        <v>171</v>
      </c>
    </row>
    <row r="25" spans="1:3" x14ac:dyDescent="0.35">
      <c r="A25" s="2" t="s">
        <v>17</v>
      </c>
      <c r="B25" s="18" t="str">
        <f>IF($B$3&gt;0,AVERAGEIFS(Responses!I$2:I$121,Responses!$M$2:$M$121,"ok"),"")</f>
        <v/>
      </c>
      <c r="C25" s="19" t="s">
        <v>172</v>
      </c>
    </row>
    <row r="26" spans="1:3" x14ac:dyDescent="0.35">
      <c r="A26" s="2" t="s">
        <v>18</v>
      </c>
      <c r="B26" s="18" t="str">
        <f>IF($B$3&gt;0,AVERAGEIFS(Responses!J$2:J$121,Responses!$M$2:$M$121,"ok"),"")</f>
        <v/>
      </c>
      <c r="C26" s="19" t="s">
        <v>173</v>
      </c>
    </row>
    <row r="27" spans="1:3" x14ac:dyDescent="0.35">
      <c r="A27" s="2" t="s">
        <v>19</v>
      </c>
      <c r="B27" s="18" t="str">
        <f>IF($B$3&gt;0,AVERAGEIFS(Responses!K$2:K$121,Responses!$M$2:$M$121,"ok"),"")</f>
        <v/>
      </c>
      <c r="C27" s="19" t="s">
        <v>174</v>
      </c>
    </row>
    <row r="30" spans="1:3" x14ac:dyDescent="0.35">
      <c r="A30" s="3" t="s">
        <v>175</v>
      </c>
    </row>
    <row r="31" spans="1:3" x14ac:dyDescent="0.35">
      <c r="A31" s="19" t="s">
        <v>176</v>
      </c>
    </row>
    <row r="32" spans="1:3" x14ac:dyDescent="0.35">
      <c r="A32" s="19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Responses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 Duhan</cp:lastModifiedBy>
  <dcterms:created xsi:type="dcterms:W3CDTF">2026-10-21T05:47:22Z</dcterms:created>
  <dcterms:modified xsi:type="dcterms:W3CDTF">2026-10-21T05:47:37Z</dcterms:modified>
</cp:coreProperties>
</file>